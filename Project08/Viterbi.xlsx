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oechow/Documents/Bioinformatics/BINF6250/BINF6250F25-Allen/Project08/"/>
    </mc:Choice>
  </mc:AlternateContent>
  <xr:revisionPtr revIDLastSave="0" documentId="8_{A522B31D-8686-654C-802A-9AAEB11CAA15}" xr6:coauthVersionLast="47" xr6:coauthVersionMax="47" xr10:uidLastSave="{00000000-0000-0000-0000-000000000000}"/>
  <bookViews>
    <workbookView xWindow="1280" yWindow="500" windowWidth="27520" windowHeight="17500" xr2:uid="{C1E00A56-341C-A049-925D-9473C077F3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J10" i="1"/>
  <c r="I10" i="1"/>
  <c r="J8" i="1"/>
  <c r="J7" i="1"/>
  <c r="J6" i="1"/>
  <c r="J5" i="1"/>
  <c r="I8" i="1"/>
  <c r="I7" i="1"/>
  <c r="I6" i="1"/>
  <c r="I5" i="1"/>
  <c r="H8" i="1"/>
  <c r="H7" i="1"/>
  <c r="K5" i="1"/>
  <c r="H5" i="1"/>
  <c r="G8" i="1"/>
  <c r="G7" i="1"/>
  <c r="G6" i="1"/>
  <c r="G5" i="1"/>
  <c r="F8" i="1"/>
  <c r="F7" i="1"/>
  <c r="F6" i="1"/>
  <c r="F5" i="1"/>
  <c r="E8" i="1"/>
  <c r="E7" i="1"/>
  <c r="E6" i="1"/>
  <c r="D8" i="1"/>
  <c r="D7" i="1"/>
  <c r="E5" i="1"/>
  <c r="D6" i="1"/>
  <c r="D5" i="1"/>
  <c r="C8" i="1"/>
  <c r="C7" i="1"/>
  <c r="C6" i="1"/>
  <c r="C5" i="1"/>
  <c r="B7" i="1"/>
  <c r="B5" i="1"/>
</calcChain>
</file>

<file path=xl/sharedStrings.xml><?xml version="1.0" encoding="utf-8"?>
<sst xmlns="http://schemas.openxmlformats.org/spreadsheetml/2006/main" count="26" uniqueCount="8">
  <si>
    <t>G</t>
  </si>
  <si>
    <t>C</t>
  </si>
  <si>
    <t>A</t>
  </si>
  <si>
    <t>T</t>
  </si>
  <si>
    <t>I</t>
  </si>
  <si>
    <t xml:space="preserve">TRANSITION </t>
  </si>
  <si>
    <t>EMISSION</t>
  </si>
  <si>
    <t>INITIAL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</si>
</sst>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2" borderId="0" xfId="0" applyNumberForma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C587-2C2F-6341-BA1D-17E7F279908B}">
  <dimension ref="A4:K22"/>
  <sheetViews>
    <sheetView tabSelected="1" workbookViewId="0">
      <selection activeCell="H6" sqref="H6"/>
    </sheetView>
  </sheetViews>
  <sheetFormatPr baseColWidth="10" defaultRowHeight="16" x14ac:dyDescent="0.2"/>
  <sheetData>
    <row r="4" spans="1:11" x14ac:dyDescent="0.2">
      <c r="B4" t="s">
        <v>0</v>
      </c>
      <c r="C4" t="s">
        <v>0</v>
      </c>
      <c r="D4" t="s">
        <v>1</v>
      </c>
      <c r="E4" t="s">
        <v>2</v>
      </c>
      <c r="F4" t="s">
        <v>1</v>
      </c>
      <c r="G4" t="s">
        <v>3</v>
      </c>
      <c r="H4" t="s">
        <v>0</v>
      </c>
      <c r="I4" t="s">
        <v>2</v>
      </c>
      <c r="J4" t="s">
        <v>2</v>
      </c>
    </row>
    <row r="5" spans="1:11" x14ac:dyDescent="0.2">
      <c r="A5" t="s">
        <v>4</v>
      </c>
      <c r="B5" s="2">
        <f>0.2*0.4</f>
        <v>8.0000000000000016E-2</v>
      </c>
      <c r="C5" s="1">
        <f>0.08*0.7*0.4</f>
        <v>2.24E-2</v>
      </c>
      <c r="D5" s="1">
        <f>C5*B16*C21</f>
        <v>6.2719999999999998E-3</v>
      </c>
      <c r="E5" s="1">
        <f>D5*B16*B21</f>
        <v>4.3903999999999992E-4</v>
      </c>
      <c r="F5" s="1">
        <f>E5*B16*C21</f>
        <v>1.2293119999999999E-4</v>
      </c>
      <c r="G5" s="1">
        <f>F5*B16*E21</f>
        <v>8.6051839999999981E-6</v>
      </c>
      <c r="H5" s="2">
        <f>G5*B16*D21</f>
        <v>2.4094515199999994E-6</v>
      </c>
      <c r="I5" s="1">
        <f>H6*B16*B21</f>
        <v>1.9046845440000007E-7</v>
      </c>
      <c r="J5" s="2">
        <f>I5*B16*B21</f>
        <v>1.3332791808000005E-8</v>
      </c>
      <c r="K5" s="2">
        <f>MAX(H5:H6)</f>
        <v>2.7209779200000011E-6</v>
      </c>
    </row>
    <row r="6" spans="1:11" x14ac:dyDescent="0.2">
      <c r="B6" s="2"/>
      <c r="C6" s="2">
        <f>0.16*0.1*0.4</f>
        <v>6.4000000000000003E-3</v>
      </c>
      <c r="D6" s="2">
        <f>C8*B17*C21</f>
        <v>1.1520000000000005E-3</v>
      </c>
      <c r="E6" s="2">
        <f>D8*B17*B21</f>
        <v>5.1840000000000025E-5</v>
      </c>
      <c r="F6" s="2">
        <f>E8*B17*C21</f>
        <v>5.5987200000000025E-5</v>
      </c>
      <c r="G6" s="2">
        <f>F8*B17*E21</f>
        <v>2.5194240000000011E-6</v>
      </c>
      <c r="H6" s="1">
        <f>G8*B17*D21</f>
        <v>2.7209779200000011E-6</v>
      </c>
      <c r="I6" s="2">
        <f>H8*B17*B21</f>
        <v>1.2244400640000009E-7</v>
      </c>
      <c r="J6" s="1">
        <f>I8*B17*B21</f>
        <v>3.3059881728000021E-8</v>
      </c>
    </row>
    <row r="7" spans="1:11" x14ac:dyDescent="0.2">
      <c r="A7" t="s">
        <v>0</v>
      </c>
      <c r="B7" s="2">
        <f>0.8*0.2</f>
        <v>0.16000000000000003</v>
      </c>
      <c r="C7" s="2">
        <f>B5*C16*D22</f>
        <v>4.8000000000000013E-3</v>
      </c>
      <c r="D7" s="2">
        <f>C5*C16*C22</f>
        <v>1.3439999999999999E-3</v>
      </c>
      <c r="E7" s="2">
        <f>D5*C16*B22</f>
        <v>5.6447999999999991E-4</v>
      </c>
      <c r="F7" s="2">
        <f>E5*C16*C22</f>
        <v>2.6342399999999997E-5</v>
      </c>
      <c r="G7" s="2">
        <f>F5*C16*E22</f>
        <v>1.1063807999999998E-5</v>
      </c>
      <c r="H7" s="2">
        <f>G5*C16*D22</f>
        <v>5.1631103999999985E-7</v>
      </c>
      <c r="I7" s="2">
        <f>H6*C16*B22</f>
        <v>2.4488801280000007E-7</v>
      </c>
      <c r="J7" s="2">
        <f>I5*C16*B22</f>
        <v>1.7142160896000005E-8</v>
      </c>
    </row>
    <row r="8" spans="1:11" x14ac:dyDescent="0.2">
      <c r="B8" s="2"/>
      <c r="C8" s="1">
        <f>B7*C17*D22</f>
        <v>2.880000000000001E-2</v>
      </c>
      <c r="D8" s="1">
        <f>C8*C17*C22</f>
        <v>5.184000000000002E-3</v>
      </c>
      <c r="E8" s="1">
        <f>D8*C17*B22</f>
        <v>1.3996800000000004E-3</v>
      </c>
      <c r="F8" s="1">
        <f>E8*C17*C22</f>
        <v>2.5194240000000009E-4</v>
      </c>
      <c r="G8" s="1">
        <f>F8*C17*E22</f>
        <v>6.8024448000000024E-5</v>
      </c>
      <c r="H8" s="1">
        <f>G8*C17*D22</f>
        <v>1.2244400640000007E-5</v>
      </c>
      <c r="I8" s="1">
        <f>H8*C17*B22</f>
        <v>3.3059881728000015E-6</v>
      </c>
      <c r="J8" s="1">
        <f>I8*C17*B22</f>
        <v>8.9261680665600046E-7</v>
      </c>
    </row>
    <row r="9" spans="1:11" x14ac:dyDescent="0.2">
      <c r="B9" s="2"/>
      <c r="C9" s="2"/>
      <c r="D9" s="2"/>
      <c r="E9" s="2"/>
      <c r="F9" s="2"/>
      <c r="G9" s="2"/>
      <c r="H9" s="2"/>
      <c r="I9" s="2"/>
      <c r="J9" s="2"/>
    </row>
    <row r="10" spans="1:11" x14ac:dyDescent="0.2">
      <c r="A10" t="s">
        <v>7</v>
      </c>
      <c r="I10" s="2">
        <f>H5*B16*B21</f>
        <v>1.6866160639999996E-7</v>
      </c>
      <c r="J10" s="2">
        <f>I10*B16*B21</f>
        <v>1.1806312447999998E-8</v>
      </c>
    </row>
    <row r="11" spans="1:11" x14ac:dyDescent="0.2">
      <c r="A11" t="s">
        <v>4</v>
      </c>
      <c r="B11">
        <v>0.2</v>
      </c>
    </row>
    <row r="12" spans="1:11" x14ac:dyDescent="0.2">
      <c r="A12" t="s">
        <v>0</v>
      </c>
      <c r="B12">
        <v>0.8</v>
      </c>
    </row>
    <row r="15" spans="1:11" x14ac:dyDescent="0.2">
      <c r="A15" t="s">
        <v>5</v>
      </c>
      <c r="B15" t="s">
        <v>4</v>
      </c>
      <c r="C15" t="s">
        <v>0</v>
      </c>
    </row>
    <row r="16" spans="1:11" x14ac:dyDescent="0.2">
      <c r="A16" t="s">
        <v>4</v>
      </c>
      <c r="B16">
        <v>0.7</v>
      </c>
      <c r="C16">
        <v>0.3</v>
      </c>
    </row>
    <row r="17" spans="1:5" x14ac:dyDescent="0.2">
      <c r="A17" t="s">
        <v>0</v>
      </c>
      <c r="B17">
        <v>0.1</v>
      </c>
      <c r="C17">
        <v>0.9</v>
      </c>
    </row>
    <row r="20" spans="1:5" x14ac:dyDescent="0.2">
      <c r="A20" t="s">
        <v>6</v>
      </c>
      <c r="B20" t="s">
        <v>2</v>
      </c>
      <c r="C20" t="s">
        <v>1</v>
      </c>
      <c r="D20" t="s">
        <v>0</v>
      </c>
      <c r="E20" t="s">
        <v>3</v>
      </c>
    </row>
    <row r="21" spans="1:5" x14ac:dyDescent="0.2">
      <c r="A21" t="s">
        <v>4</v>
      </c>
      <c r="B21">
        <v>0.1</v>
      </c>
      <c r="C21">
        <v>0.4</v>
      </c>
      <c r="D21">
        <v>0.4</v>
      </c>
      <c r="E21">
        <v>0.1</v>
      </c>
    </row>
    <row r="22" spans="1:5" x14ac:dyDescent="0.2">
      <c r="A22" t="s">
        <v>0</v>
      </c>
      <c r="B22">
        <v>0.3</v>
      </c>
      <c r="C22">
        <v>0.2</v>
      </c>
      <c r="D22">
        <v>0.2</v>
      </c>
      <c r="E22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Chow</dc:creator>
  <cp:lastModifiedBy>Zoe Chow</cp:lastModifiedBy>
  <dcterms:created xsi:type="dcterms:W3CDTF">2025-11-05T01:23:31Z</dcterms:created>
  <dcterms:modified xsi:type="dcterms:W3CDTF">2025-11-05T14:23:05Z</dcterms:modified>
</cp:coreProperties>
</file>